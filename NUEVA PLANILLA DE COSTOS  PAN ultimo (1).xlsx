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\Descargas\"/>
    </mc:Choice>
  </mc:AlternateContent>
  <xr:revisionPtr revIDLastSave="0" documentId="13_ncr:1_{DDC2E479-7822-417C-BF28-7F185FB48B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STOS VARIABLES" sheetId="2" r:id="rId1"/>
    <sheet name="PUNTO EQUILIBRIO" sheetId="6" r:id="rId2"/>
  </sheets>
  <calcPr calcId="191029"/>
</workbook>
</file>

<file path=xl/calcChain.xml><?xml version="1.0" encoding="utf-8"?>
<calcChain xmlns="http://schemas.openxmlformats.org/spreadsheetml/2006/main">
  <c r="J38" i="2" l="1"/>
  <c r="J24" i="2"/>
  <c r="E63" i="2"/>
  <c r="E62" i="2"/>
  <c r="E61" i="2"/>
  <c r="E60" i="2"/>
  <c r="E59" i="2"/>
  <c r="E58" i="2"/>
  <c r="E57" i="2"/>
  <c r="E56" i="2"/>
  <c r="E55" i="2"/>
  <c r="E54" i="2"/>
  <c r="E23" i="2"/>
  <c r="E24" i="2"/>
  <c r="E25" i="2"/>
  <c r="E26" i="2"/>
  <c r="E27" i="2"/>
  <c r="E28" i="2"/>
  <c r="E29" i="2"/>
  <c r="E30" i="2"/>
  <c r="E31" i="2"/>
  <c r="E32" i="2"/>
  <c r="E33" i="2"/>
  <c r="E34" i="2"/>
  <c r="E22" i="2"/>
  <c r="E35" i="2"/>
  <c r="E36" i="2"/>
  <c r="E37" i="2"/>
  <c r="E64" i="2" l="1"/>
  <c r="C72" i="2" s="1"/>
  <c r="C9" i="6" s="1"/>
  <c r="E38" i="2"/>
  <c r="E39" i="2"/>
  <c r="E40" i="2"/>
  <c r="E41" i="2"/>
  <c r="E42" i="2"/>
  <c r="E43" i="2"/>
  <c r="E44" i="2"/>
  <c r="E45" i="2" l="1"/>
  <c r="C71" i="2" l="1"/>
  <c r="C73" i="2" s="1"/>
  <c r="E46" i="2"/>
  <c r="C11" i="6" s="1"/>
  <c r="C75" i="2" l="1"/>
  <c r="K11" i="2" s="1"/>
  <c r="K16" i="2" s="1"/>
  <c r="J35" i="2"/>
  <c r="K24" i="2" l="1"/>
  <c r="L24" i="2" s="1"/>
  <c r="L28" i="2" s="1"/>
  <c r="J34" i="2" s="1"/>
  <c r="J36" i="2" s="1"/>
  <c r="C10" i="6"/>
  <c r="C13" i="6" s="1"/>
  <c r="D10" i="6" l="1"/>
</calcChain>
</file>

<file path=xl/sharedStrings.xml><?xml version="1.0" encoding="utf-8"?>
<sst xmlns="http://schemas.openxmlformats.org/spreadsheetml/2006/main" count="89" uniqueCount="84">
  <si>
    <t xml:space="preserve">Producto o Servicio </t>
  </si>
  <si>
    <t>Cantidad</t>
  </si>
  <si>
    <t>Precio Vta.</t>
  </si>
  <si>
    <t xml:space="preserve">Total </t>
  </si>
  <si>
    <t>Precio Unitario</t>
  </si>
  <si>
    <t>Total</t>
  </si>
  <si>
    <t>Concepto</t>
  </si>
  <si>
    <t>Combustible</t>
  </si>
  <si>
    <t>Viáticos</t>
  </si>
  <si>
    <t>Transporte</t>
  </si>
  <si>
    <t>Jornales Temporales</t>
  </si>
  <si>
    <t xml:space="preserve">Costos Fijos </t>
  </si>
  <si>
    <t xml:space="preserve">Importe </t>
  </si>
  <si>
    <t xml:space="preserve">Remuneración del propietario </t>
  </si>
  <si>
    <t>Alquileres</t>
  </si>
  <si>
    <t>Otros</t>
  </si>
  <si>
    <t xml:space="preserve">Costos Totales </t>
  </si>
  <si>
    <t>CONCEPTOS</t>
  </si>
  <si>
    <t>IMPORTE</t>
  </si>
  <si>
    <t>Grasa kg</t>
  </si>
  <si>
    <t>Sal kg</t>
  </si>
  <si>
    <t>Harina Bolsa 25 kg</t>
  </si>
  <si>
    <t xml:space="preserve">Bolsitas </t>
  </si>
  <si>
    <t xml:space="preserve">Remuneración empleados fijos </t>
  </si>
  <si>
    <t>Impuestos Específicos -Montributo</t>
  </si>
  <si>
    <t>Seguros (Incendio)</t>
  </si>
  <si>
    <t>COSTO TOTAL UNITARIO</t>
  </si>
  <si>
    <t>Gas tubo 45 kg</t>
  </si>
  <si>
    <t>PUNTO DE EQUILIBRIO</t>
  </si>
  <si>
    <t>CFT</t>
  </si>
  <si>
    <t>PV</t>
  </si>
  <si>
    <t>CVU</t>
  </si>
  <si>
    <t>Total costos Fijos-   CFT</t>
  </si>
  <si>
    <t>PE= CFT/(PV-CVU)</t>
  </si>
  <si>
    <t>PE =</t>
  </si>
  <si>
    <t>KG DE PAN</t>
  </si>
  <si>
    <t>PAN (KG)</t>
  </si>
  <si>
    <t>Levadura seca 20 gs</t>
  </si>
  <si>
    <t xml:space="preserve">Servicios </t>
  </si>
  <si>
    <t>Servicios (Luz , Agua, etc)</t>
  </si>
  <si>
    <t>Otros costos Variables</t>
  </si>
  <si>
    <t>Insumos</t>
  </si>
  <si>
    <t xml:space="preserve"> Costos Variables Totales - CVT</t>
  </si>
  <si>
    <t>Costos Fijos Totales</t>
  </si>
  <si>
    <t>Costos Variables Totales</t>
  </si>
  <si>
    <t>Amortización de bienes (#)</t>
  </si>
  <si>
    <t>CVU: Costo Variable Unitario</t>
  </si>
  <si>
    <t>PV: Precion de Venta</t>
  </si>
  <si>
    <t>PE: Punto de  Equilibrio</t>
  </si>
  <si>
    <t>Seguí estos 4 pasos. Solo completá SOLO LOS CASILLEROS PINTADOS EN VERDE</t>
  </si>
  <si>
    <t>(para trabajar con un producto a la vez)</t>
  </si>
  <si>
    <t xml:space="preserve">PLANIFLLA PARA FIJAR COSTOS Y PRECIOS PARA ECONOMÍA SOCIAL </t>
  </si>
  <si>
    <t>Bienes producidos: ej pan, pan dulce, dulces, remeras, etc</t>
  </si>
  <si>
    <t>Anotá TODO lo que usás para producir (aunque parezca poco)”</t>
  </si>
  <si>
    <t xml:space="preserve">Si conoces solo cuánto producis por semana multiplicalo por 4, </t>
  </si>
  <si>
    <t>si conoces la producción diaria muliplicalo por la cantidad de días producidas en el mes</t>
  </si>
  <si>
    <t>Cambiá los itms que aparecen en la planilla a modo de ejemplo.</t>
  </si>
  <si>
    <t>A- COSTOS VARIABLES: Son los gastos que aumentan o disminuyen según cuánto producís.</t>
  </si>
  <si>
    <t xml:space="preserve">B- COSTOS FIJOS: Son los gastos que tenés aunque no produzcas nada. </t>
  </si>
  <si>
    <t>(Sin incluir la ganancia)</t>
  </si>
  <si>
    <t>No cambian según la cantidad que producís.</t>
  </si>
  <si>
    <t xml:space="preserve">PRECIO FINAL POR UNIDAD </t>
  </si>
  <si>
    <t>PASO - 2</t>
  </si>
  <si>
    <t>¿EN QUÉ GASTÁS PARA PRODUCIR? (Costos)</t>
  </si>
  <si>
    <t xml:space="preserve">TU PRODUCCIÓN: ¿qué producto haces? ¿cuánto producis por mes? </t>
  </si>
  <si>
    <t xml:space="preserve">PASO - 1 </t>
  </si>
  <si>
    <t>PASO - 3</t>
  </si>
  <si>
    <t>PASO - 4</t>
  </si>
  <si>
    <t>GANANCIA por unidad (en pesos)</t>
  </si>
  <si>
    <t xml:space="preserve">GANANCIA ¿cuánto pretendo ganar? </t>
  </si>
  <si>
    <t>PRECIO: Determinar el precio  del producto (costo totsl unitario + Ganancia por unidad)</t>
  </si>
  <si>
    <t>PASO - 5</t>
  </si>
  <si>
    <t xml:space="preserve">INGRESOS MENSUAL </t>
  </si>
  <si>
    <t>TOTAL ventas mensuales</t>
  </si>
  <si>
    <t>PASO - 6</t>
  </si>
  <si>
    <t>RESULTADO</t>
  </si>
  <si>
    <t xml:space="preserve">Ventas                                         </t>
  </si>
  <si>
    <t xml:space="preserve">Costos Totales                             </t>
  </si>
  <si>
    <t xml:space="preserve">Utilidad del Emprendimiento    </t>
  </si>
  <si>
    <t>C- RESUMEN DE COSTOS Y CALCULO DEL COSTO UNITARIO DEL PRODUCTO</t>
  </si>
  <si>
    <t xml:space="preserve"> Costos Variables Unitarios - CVU</t>
  </si>
  <si>
    <r>
      <t xml:space="preserve">Cantidad producida por mes: kg, unidad, docenas, litros, etc.   </t>
    </r>
    <r>
      <rPr>
        <b/>
        <sz val="8"/>
        <color rgb="FFFF0000"/>
        <rFont val="Arial"/>
        <family val="2"/>
      </rPr>
      <t>En este casillero colocá solo números</t>
    </r>
  </si>
  <si>
    <t>GANANCIA - UTILIDAD porcentaje (Esperada)</t>
  </si>
  <si>
    <t>GANANCIA LOGRADA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</si>
</sst>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sz val="13.5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EF828"/>
        <bgColor indexed="64"/>
      </patternFill>
    </fill>
    <fill>
      <patternFill patternType="solid">
        <fgColor rgb="FFFFCE33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0" fillId="0" borderId="6" xfId="0" applyBorder="1"/>
    <xf numFmtId="0" fontId="12" fillId="4" borderId="5" xfId="0" applyFont="1" applyFill="1" applyBorder="1" applyAlignment="1">
      <alignment horizontal="right"/>
    </xf>
    <xf numFmtId="0" fontId="12" fillId="4" borderId="6" xfId="0" applyFont="1" applyFill="1" applyBorder="1"/>
    <xf numFmtId="0" fontId="2" fillId="0" borderId="8" xfId="0" applyFont="1" applyBorder="1"/>
    <xf numFmtId="0" fontId="13" fillId="0" borderId="0" xfId="0" applyFont="1"/>
    <xf numFmtId="0" fontId="11" fillId="0" borderId="5" xfId="0" applyFont="1" applyBorder="1"/>
    <xf numFmtId="0" fontId="6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0" fontId="4" fillId="0" borderId="4" xfId="0" applyFont="1" applyBorder="1" applyAlignment="1" applyProtection="1">
      <alignment vertical="center"/>
      <protection locked="0"/>
    </xf>
    <xf numFmtId="164" fontId="2" fillId="0" borderId="8" xfId="0" applyNumberFormat="1" applyFont="1" applyBorder="1"/>
    <xf numFmtId="164" fontId="0" fillId="0" borderId="0" xfId="0" applyNumberFormat="1"/>
    <xf numFmtId="2" fontId="12" fillId="4" borderId="9" xfId="0" applyNumberFormat="1" applyFont="1" applyFill="1" applyBorder="1"/>
    <xf numFmtId="0" fontId="4" fillId="0" borderId="3" xfId="0" applyFont="1" applyBorder="1" applyAlignment="1" applyProtection="1">
      <alignment vertical="center"/>
      <protection locked="0"/>
    </xf>
    <xf numFmtId="44" fontId="4" fillId="0" borderId="4" xfId="1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44" fontId="4" fillId="0" borderId="4" xfId="1" applyFont="1" applyBorder="1" applyAlignment="1" applyProtection="1">
      <alignment vertical="center"/>
    </xf>
    <xf numFmtId="0" fontId="6" fillId="0" borderId="0" xfId="0" applyFont="1" applyAlignment="1" applyProtection="1">
      <alignment horizontal="center" vertical="center" wrapText="1"/>
      <protection locked="0"/>
    </xf>
    <xf numFmtId="44" fontId="9" fillId="0" borderId="0" xfId="1" applyFont="1" applyBorder="1" applyAlignment="1" applyProtection="1">
      <alignment vertical="center" wrapText="1"/>
    </xf>
    <xf numFmtId="0" fontId="0" fillId="2" borderId="0" xfId="0" applyFill="1" applyProtection="1">
      <protection locked="0"/>
    </xf>
    <xf numFmtId="44" fontId="9" fillId="2" borderId="0" xfId="1" applyFont="1" applyFill="1" applyBorder="1" applyAlignment="1" applyProtection="1">
      <alignment vertical="center" wrapText="1"/>
    </xf>
    <xf numFmtId="44" fontId="7" fillId="2" borderId="0" xfId="1" applyFont="1" applyFill="1" applyBorder="1" applyAlignment="1" applyProtection="1">
      <alignment vertical="center" wrapText="1"/>
    </xf>
    <xf numFmtId="0" fontId="3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0" fillId="2" borderId="0" xfId="0" applyFill="1"/>
    <xf numFmtId="0" fontId="4" fillId="0" borderId="8" xfId="0" applyFont="1" applyBorder="1" applyAlignment="1" applyProtection="1">
      <alignment vertical="center"/>
      <protection locked="0"/>
    </xf>
    <xf numFmtId="44" fontId="4" fillId="0" borderId="8" xfId="0" applyNumberFormat="1" applyFont="1" applyBorder="1" applyAlignment="1" applyProtection="1">
      <alignment vertical="center"/>
      <protection locked="0"/>
    </xf>
    <xf numFmtId="164" fontId="4" fillId="0" borderId="8" xfId="0" applyNumberFormat="1" applyFont="1" applyBorder="1" applyAlignment="1">
      <alignment vertical="center"/>
    </xf>
    <xf numFmtId="0" fontId="5" fillId="3" borderId="8" xfId="0" applyFont="1" applyFill="1" applyBorder="1" applyAlignment="1" applyProtection="1">
      <alignment horizontal="center" vertical="center" wrapText="1"/>
      <protection locked="0"/>
    </xf>
    <xf numFmtId="0" fontId="5" fillId="3" borderId="8" xfId="0" applyFont="1" applyFill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vertical="center" wrapText="1"/>
      <protection locked="0"/>
    </xf>
    <xf numFmtId="44" fontId="4" fillId="0" borderId="8" xfId="1" applyFont="1" applyBorder="1" applyAlignment="1" applyProtection="1">
      <alignment vertical="center" wrapText="1"/>
      <protection locked="0"/>
    </xf>
    <xf numFmtId="44" fontId="4" fillId="0" borderId="8" xfId="1" applyFont="1" applyBorder="1" applyAlignment="1" applyProtection="1">
      <alignment vertical="center" wrapText="1"/>
    </xf>
    <xf numFmtId="0" fontId="5" fillId="5" borderId="8" xfId="0" applyFont="1" applyFill="1" applyBorder="1" applyAlignment="1" applyProtection="1">
      <alignment vertical="center" wrapText="1"/>
      <protection locked="0"/>
    </xf>
    <xf numFmtId="44" fontId="5" fillId="3" borderId="8" xfId="1" applyFont="1" applyFill="1" applyBorder="1" applyAlignment="1" applyProtection="1">
      <alignment horizontal="left" vertical="center" wrapText="1"/>
    </xf>
    <xf numFmtId="0" fontId="15" fillId="0" borderId="0" xfId="0" applyFont="1" applyProtection="1">
      <protection locked="0"/>
    </xf>
    <xf numFmtId="44" fontId="15" fillId="0" borderId="0" xfId="1" applyFont="1" applyProtection="1">
      <protection hidden="1"/>
    </xf>
    <xf numFmtId="0" fontId="5" fillId="3" borderId="7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/>
    <xf numFmtId="0" fontId="5" fillId="3" borderId="8" xfId="0" applyFont="1" applyFill="1" applyBorder="1" applyAlignment="1" applyProtection="1">
      <alignment vertical="center"/>
      <protection locked="0"/>
    </xf>
    <xf numFmtId="0" fontId="16" fillId="3" borderId="8" xfId="0" applyFont="1" applyFill="1" applyBorder="1" applyProtection="1">
      <protection locked="0"/>
    </xf>
    <xf numFmtId="164" fontId="4" fillId="0" borderId="8" xfId="0" applyNumberFormat="1" applyFont="1" applyBorder="1" applyAlignment="1">
      <alignment horizontal="right" vertical="center"/>
    </xf>
    <xf numFmtId="164" fontId="4" fillId="0" borderId="8" xfId="1" applyNumberFormat="1" applyFont="1" applyBorder="1" applyAlignment="1" applyProtection="1">
      <alignment vertical="center"/>
    </xf>
    <xf numFmtId="0" fontId="5" fillId="0" borderId="8" xfId="0" applyFont="1" applyBorder="1" applyAlignment="1" applyProtection="1">
      <alignment vertical="center"/>
      <protection locked="0"/>
    </xf>
    <xf numFmtId="164" fontId="4" fillId="2" borderId="0" xfId="1" applyNumberFormat="1" applyFont="1" applyFill="1" applyBorder="1" applyAlignment="1" applyProtection="1">
      <alignment horizontal="right" vertical="center"/>
    </xf>
    <xf numFmtId="44" fontId="15" fillId="0" borderId="0" xfId="1" applyFont="1" applyProtection="1"/>
    <xf numFmtId="0" fontId="5" fillId="0" borderId="8" xfId="0" applyFont="1" applyBorder="1" applyAlignment="1" applyProtection="1">
      <alignment vertical="center" wrapText="1"/>
      <protection locked="0"/>
    </xf>
    <xf numFmtId="0" fontId="17" fillId="0" borderId="0" xfId="0" applyFont="1" applyProtection="1">
      <protection locked="0"/>
    </xf>
    <xf numFmtId="44" fontId="16" fillId="0" borderId="0" xfId="1" applyFont="1" applyBorder="1" applyProtection="1"/>
    <xf numFmtId="164" fontId="5" fillId="3" borderId="8" xfId="1" applyNumberFormat="1" applyFont="1" applyFill="1" applyBorder="1" applyAlignment="1" applyProtection="1">
      <alignment horizontal="right"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vertical="center"/>
    </xf>
    <xf numFmtId="0" fontId="0" fillId="6" borderId="7" xfId="0" applyFill="1" applyBorder="1" applyProtection="1">
      <protection locked="0"/>
    </xf>
    <xf numFmtId="0" fontId="0" fillId="0" borderId="0" xfId="0" applyAlignment="1">
      <alignment vertical="top"/>
    </xf>
    <xf numFmtId="0" fontId="6" fillId="2" borderId="0" xfId="0" applyFont="1" applyFill="1" applyAlignment="1">
      <alignment vertical="center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5" fillId="0" borderId="0" xfId="0" applyFont="1" applyProtection="1">
      <protection locked="0"/>
    </xf>
    <xf numFmtId="0" fontId="21" fillId="2" borderId="0" xfId="0" applyFont="1" applyFill="1" applyProtection="1">
      <protection locked="0"/>
    </xf>
    <xf numFmtId="0" fontId="22" fillId="2" borderId="0" xfId="0" applyFont="1" applyFill="1"/>
    <xf numFmtId="0" fontId="22" fillId="2" borderId="0" xfId="0" applyFont="1" applyFill="1" applyProtection="1">
      <protection locked="0"/>
    </xf>
    <xf numFmtId="0" fontId="23" fillId="2" borderId="0" xfId="0" applyFont="1" applyFill="1" applyAlignment="1">
      <alignment horizontal="center" vertical="center" wrapText="1"/>
    </xf>
    <xf numFmtId="0" fontId="5" fillId="3" borderId="16" xfId="0" applyFont="1" applyFill="1" applyBorder="1" applyAlignment="1" applyProtection="1">
      <alignment horizontal="center" vertical="center" wrapText="1"/>
      <protection locked="0"/>
    </xf>
    <xf numFmtId="0" fontId="0" fillId="6" borderId="5" xfId="0" applyFill="1" applyBorder="1" applyProtection="1">
      <protection locked="0"/>
    </xf>
    <xf numFmtId="0" fontId="16" fillId="5" borderId="5" xfId="0" applyFont="1" applyFill="1" applyBorder="1" applyProtection="1">
      <protection locked="0"/>
    </xf>
    <xf numFmtId="10" fontId="14" fillId="4" borderId="6" xfId="2" applyNumberFormat="1" applyFont="1" applyFill="1" applyBorder="1" applyAlignment="1" applyProtection="1">
      <alignment vertical="center"/>
      <protection locked="0"/>
    </xf>
    <xf numFmtId="0" fontId="19" fillId="2" borderId="0" xfId="0" applyFont="1" applyFill="1" applyAlignment="1">
      <alignment vertical="center"/>
    </xf>
    <xf numFmtId="0" fontId="19" fillId="8" borderId="0" xfId="0" applyFont="1" applyFill="1" applyAlignment="1">
      <alignment vertical="center"/>
    </xf>
    <xf numFmtId="0" fontId="0" fillId="8" borderId="0" xfId="0" applyFill="1" applyProtection="1">
      <protection locked="0"/>
    </xf>
    <xf numFmtId="0" fontId="0" fillId="2" borderId="0" xfId="0" applyFill="1" applyAlignment="1">
      <alignment horizontal="center"/>
    </xf>
    <xf numFmtId="0" fontId="26" fillId="8" borderId="0" xfId="0" applyFont="1" applyFill="1"/>
    <xf numFmtId="0" fontId="24" fillId="6" borderId="18" xfId="0" applyFont="1" applyFill="1" applyBorder="1" applyAlignment="1" applyProtection="1">
      <alignment horizontal="center" vertical="center" wrapText="1"/>
      <protection locked="0"/>
    </xf>
    <xf numFmtId="0" fontId="26" fillId="8" borderId="0" xfId="0" applyFont="1" applyFill="1" applyProtection="1">
      <protection locked="0"/>
    </xf>
    <xf numFmtId="0" fontId="26" fillId="2" borderId="0" xfId="0" applyFont="1" applyFill="1" applyProtection="1">
      <protection locked="0"/>
    </xf>
    <xf numFmtId="0" fontId="5" fillId="3" borderId="19" xfId="0" applyFont="1" applyFill="1" applyBorder="1" applyAlignment="1" applyProtection="1">
      <alignment horizontal="center" vertical="center"/>
      <protection locked="0"/>
    </xf>
    <xf numFmtId="0" fontId="5" fillId="3" borderId="20" xfId="0" applyFont="1" applyFill="1" applyBorder="1" applyAlignment="1" applyProtection="1">
      <alignment horizontal="center" vertical="center"/>
      <protection locked="0"/>
    </xf>
    <xf numFmtId="164" fontId="5" fillId="0" borderId="0" xfId="0" applyNumberFormat="1" applyFont="1" applyAlignment="1">
      <alignment vertical="center"/>
    </xf>
    <xf numFmtId="164" fontId="16" fillId="5" borderId="7" xfId="0" applyNumberFormat="1" applyFont="1" applyFill="1" applyBorder="1"/>
    <xf numFmtId="0" fontId="2" fillId="0" borderId="0" xfId="0" applyFont="1" applyProtection="1">
      <protection locked="0"/>
    </xf>
    <xf numFmtId="0" fontId="2" fillId="2" borderId="0" xfId="0" applyFont="1" applyFill="1" applyAlignment="1">
      <alignment vertical="center"/>
    </xf>
    <xf numFmtId="0" fontId="16" fillId="2" borderId="0" xfId="0" applyFont="1" applyFill="1" applyProtection="1">
      <protection locked="0"/>
    </xf>
    <xf numFmtId="0" fontId="5" fillId="2" borderId="0" xfId="0" applyFont="1" applyFill="1" applyAlignment="1" applyProtection="1">
      <alignment vertical="center" wrapText="1"/>
      <protection locked="0"/>
    </xf>
    <xf numFmtId="164" fontId="16" fillId="2" borderId="0" xfId="0" applyNumberFormat="1" applyFont="1" applyFill="1" applyAlignment="1">
      <alignment horizontal="right"/>
    </xf>
    <xf numFmtId="0" fontId="15" fillId="2" borderId="0" xfId="0" applyFont="1" applyFill="1" applyProtection="1"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27" fillId="8" borderId="0" xfId="0" applyFont="1" applyFill="1" applyAlignment="1" applyProtection="1">
      <alignment vertical="center" wrapText="1"/>
      <protection locked="0"/>
    </xf>
    <xf numFmtId="0" fontId="16" fillId="0" borderId="8" xfId="0" applyFont="1" applyBorder="1" applyProtection="1"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164" fontId="6" fillId="3" borderId="8" xfId="0" applyNumberFormat="1" applyFont="1" applyFill="1" applyBorder="1" applyAlignment="1">
      <alignment vertical="center"/>
    </xf>
    <xf numFmtId="44" fontId="24" fillId="3" borderId="6" xfId="1" applyFont="1" applyFill="1" applyBorder="1" applyAlignment="1" applyProtection="1">
      <alignment horizontal="right" vertical="center"/>
    </xf>
    <xf numFmtId="44" fontId="14" fillId="3" borderId="6" xfId="1" applyFont="1" applyFill="1" applyBorder="1" applyAlignment="1" applyProtection="1">
      <alignment vertical="center"/>
    </xf>
    <xf numFmtId="44" fontId="2" fillId="3" borderId="8" xfId="1" applyFont="1" applyFill="1" applyBorder="1" applyProtection="1"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44" fontId="2" fillId="2" borderId="0" xfId="1" applyFont="1" applyFill="1" applyBorder="1" applyProtection="1">
      <protection locked="0"/>
    </xf>
    <xf numFmtId="164" fontId="16" fillId="0" borderId="8" xfId="0" applyNumberFormat="1" applyFont="1" applyBorder="1" applyAlignment="1">
      <alignment horizontal="right"/>
    </xf>
    <xf numFmtId="0" fontId="16" fillId="3" borderId="8" xfId="0" applyFont="1" applyFill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/>
      <protection locked="0"/>
    </xf>
    <xf numFmtId="0" fontId="14" fillId="0" borderId="9" xfId="0" applyFont="1" applyBorder="1" applyAlignment="1" applyProtection="1">
      <alignment horizontal="left" vertical="center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14" fillId="3" borderId="5" xfId="0" applyFont="1" applyFill="1" applyBorder="1" applyAlignment="1" applyProtection="1">
      <alignment horizontal="left" vertical="center" wrapText="1"/>
      <protection locked="0"/>
    </xf>
    <xf numFmtId="0" fontId="14" fillId="3" borderId="6" xfId="0" applyFont="1" applyFill="1" applyBorder="1" applyAlignment="1" applyProtection="1">
      <alignment horizontal="left" vertical="center" wrapText="1"/>
      <protection locked="0"/>
    </xf>
    <xf numFmtId="0" fontId="14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5" fillId="0" borderId="17" xfId="0" applyFont="1" applyBorder="1" applyAlignment="1" applyProtection="1">
      <alignment vertical="center" wrapText="1"/>
      <protection locked="0"/>
    </xf>
    <xf numFmtId="0" fontId="5" fillId="0" borderId="18" xfId="0" applyFont="1" applyBorder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4" fontId="16" fillId="2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left" vertical="center"/>
    </xf>
    <xf numFmtId="0" fontId="5" fillId="0" borderId="0" xfId="0" applyFont="1" applyAlignment="1" applyProtection="1">
      <alignment horizontal="left" vertical="center"/>
      <protection locked="0"/>
    </xf>
    <xf numFmtId="164" fontId="2" fillId="3" borderId="8" xfId="0" applyNumberFormat="1" applyFont="1" applyFill="1" applyBorder="1" applyAlignment="1">
      <alignment horizontal="right"/>
    </xf>
    <xf numFmtId="44" fontId="5" fillId="3" borderId="14" xfId="1" applyFont="1" applyFill="1" applyBorder="1" applyAlignment="1" applyProtection="1">
      <alignment vertical="center"/>
    </xf>
    <xf numFmtId="44" fontId="5" fillId="3" borderId="10" xfId="1" applyFont="1" applyFill="1" applyBorder="1" applyAlignment="1" applyProtection="1">
      <alignment vertical="center"/>
    </xf>
    <xf numFmtId="164" fontId="8" fillId="2" borderId="0" xfId="0" applyNumberFormat="1" applyFont="1" applyFill="1" applyAlignment="1">
      <alignment horizontal="right" vertical="center" wrapText="1"/>
    </xf>
    <xf numFmtId="0" fontId="14" fillId="0" borderId="0" xfId="0" applyFont="1" applyAlignment="1">
      <alignment horizontal="center"/>
    </xf>
    <xf numFmtId="10" fontId="16" fillId="3" borderId="8" xfId="1" applyNumberFormat="1" applyFont="1" applyFill="1" applyBorder="1" applyProtection="1">
      <protection locked="0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CE33"/>
      <color rgb="FF5EF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612775</xdr:colOff>
      <xdr:row>11</xdr:row>
      <xdr:rowOff>475614</xdr:rowOff>
    </xdr:from>
    <xdr:to>
      <xdr:col>2</xdr:col>
      <xdr:colOff>927101</xdr:colOff>
      <xdr:row>11</xdr:row>
      <xdr:rowOff>599439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A2BB0921-A185-F5EA-B868-823605A4F25C}"/>
            </a:ext>
          </a:extLst>
        </xdr:cNvPr>
        <xdr:cNvSpPr/>
      </xdr:nvSpPr>
      <xdr:spPr>
        <a:xfrm>
          <a:off x="3061335" y="2324734"/>
          <a:ext cx="314326" cy="123825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AR"/>
        </a:p>
      </xdr:txBody>
    </xdr:sp>
    <xdr:clientData/>
  </xdr:twoCellAnchor>
  <xdr:twoCellAnchor>
    <xdr:from>
      <xdr:col>5</xdr:col>
      <xdr:colOff>1086485</xdr:colOff>
      <xdr:row>11</xdr:row>
      <xdr:rowOff>404495</xdr:rowOff>
    </xdr:from>
    <xdr:to>
      <xdr:col>5</xdr:col>
      <xdr:colOff>1400811</xdr:colOff>
      <xdr:row>11</xdr:row>
      <xdr:rowOff>528320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16DFB8FD-50F2-4FDB-830F-03962E55584A}"/>
            </a:ext>
          </a:extLst>
        </xdr:cNvPr>
        <xdr:cNvSpPr/>
      </xdr:nvSpPr>
      <xdr:spPr>
        <a:xfrm>
          <a:off x="7009765" y="2954655"/>
          <a:ext cx="314326" cy="123825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A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312420</xdr:colOff>
      <xdr:row>0</xdr:row>
      <xdr:rowOff>121920</xdr:rowOff>
    </xdr:from>
    <xdr:to>
      <xdr:col>3</xdr:col>
      <xdr:colOff>982980</xdr:colOff>
      <xdr:row>4</xdr:row>
      <xdr:rowOff>45720</xdr:rowOff>
    </xdr:to>
    <xdr:sp macro="" textlink="">
      <xdr:nvSpPr>
        <xdr:cNvPr id="2" name="1 Llamada de flecha hacia abaj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04900" y="121920"/>
          <a:ext cx="2362200" cy="87630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  <a:p>
          <a:pPr algn="l"/>
          <a:r>
            <a:rPr lang="es-AR" sz="1400"/>
            <a:t>   </a:t>
          </a:r>
          <a:r>
            <a:rPr lang="es-AR" sz="1400" b="1"/>
            <a:t>PUNTO</a:t>
          </a:r>
          <a:r>
            <a:rPr lang="es-AR" sz="1400" b="1" baseline="0"/>
            <a:t> DE EQUILIBRIO</a:t>
          </a:r>
          <a:endParaRPr lang="es-AR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3"/>
  <sheetViews>
    <sheetView tabSelected="1" topLeftCell="A31" zoomScale="75" zoomScaleNormal="75" workbookViewId="0">
      <selection activeCell="G43" sqref="G43"/>
    </sheetView>
  </sheetViews>
  <sheetFormatPr baseColWidth="10" defaultColWidth="11.5703125" defaultRowHeight="15" x14ac:dyDescent="0.25"/>
  <cols>
    <col min="1" max="1" width="5.7109375" style="8" customWidth="1"/>
    <col min="2" max="2" width="30.140625" style="8" customWidth="1"/>
    <col min="3" max="3" width="19.42578125" style="8" customWidth="1"/>
    <col min="4" max="4" width="19.7109375" style="8" customWidth="1"/>
    <col min="5" max="5" width="20.42578125" style="8" customWidth="1"/>
    <col min="6" max="6" width="21.7109375" style="8" customWidth="1"/>
    <col min="7" max="7" width="16" style="8" customWidth="1"/>
    <col min="8" max="8" width="11.5703125" style="8" customWidth="1"/>
    <col min="9" max="9" width="27.5703125" style="8" customWidth="1"/>
    <col min="10" max="12" width="15.7109375" style="8" customWidth="1"/>
    <col min="13" max="16384" width="11.5703125" style="8"/>
  </cols>
  <sheetData>
    <row r="1" spans="2:12" ht="23.45" customHeight="1" x14ac:dyDescent="0.25">
      <c r="B1" s="111" t="s">
        <v>51</v>
      </c>
      <c r="C1" s="111"/>
      <c r="D1" s="111"/>
      <c r="E1" s="111"/>
      <c r="F1" s="111"/>
      <c r="G1" s="111"/>
    </row>
    <row r="2" spans="2:12" ht="12" customHeight="1" x14ac:dyDescent="0.25">
      <c r="B2" s="112" t="s">
        <v>50</v>
      </c>
      <c r="C2" s="112"/>
      <c r="D2" s="112"/>
      <c r="E2" s="112"/>
      <c r="F2" s="112"/>
      <c r="G2" s="112"/>
    </row>
    <row r="3" spans="2:12" ht="18.600000000000001" customHeight="1" x14ac:dyDescent="0.25">
      <c r="B3" s="77"/>
      <c r="C3" s="77"/>
      <c r="D3" s="77"/>
      <c r="E3" s="77"/>
      <c r="F3" s="77"/>
      <c r="G3" s="77"/>
    </row>
    <row r="4" spans="2:12" ht="22.15" customHeight="1" x14ac:dyDescent="0.3">
      <c r="B4" s="78" t="s">
        <v>49</v>
      </c>
      <c r="C4" s="76"/>
      <c r="D4" s="76"/>
      <c r="E4" s="76"/>
      <c r="F4" s="76"/>
    </row>
    <row r="5" spans="2:12" x14ac:dyDescent="0.25">
      <c r="B5"/>
    </row>
    <row r="6" spans="2:12" x14ac:dyDescent="0.25">
      <c r="B6"/>
    </row>
    <row r="7" spans="2:12" ht="22.15" customHeight="1" x14ac:dyDescent="0.3">
      <c r="B7" s="78" t="s">
        <v>65</v>
      </c>
      <c r="H7" s="81"/>
      <c r="I7" s="80" t="s">
        <v>66</v>
      </c>
    </row>
    <row r="8" spans="2:12" ht="18" x14ac:dyDescent="0.25">
      <c r="B8" s="74" t="s">
        <v>64</v>
      </c>
      <c r="I8" s="58" t="s">
        <v>69</v>
      </c>
    </row>
    <row r="9" spans="2:12" ht="18.75" thickBot="1" x14ac:dyDescent="0.3">
      <c r="B9" s="55" t="s">
        <v>54</v>
      </c>
      <c r="K9" s="36"/>
      <c r="L9" s="36"/>
    </row>
    <row r="10" spans="2:12" ht="31.9" customHeight="1" thickBot="1" x14ac:dyDescent="0.3">
      <c r="B10" s="55" t="s">
        <v>55</v>
      </c>
      <c r="I10" s="107" t="s">
        <v>82</v>
      </c>
      <c r="J10" s="108"/>
      <c r="K10" s="73">
        <v>0.04</v>
      </c>
      <c r="L10" s="36"/>
    </row>
    <row r="11" spans="2:12" ht="31.9" customHeight="1" thickBot="1" x14ac:dyDescent="0.3">
      <c r="B11" s="53"/>
      <c r="I11" s="105" t="s">
        <v>68</v>
      </c>
      <c r="J11" s="106"/>
      <c r="K11" s="98">
        <f>+C75*K10</f>
        <v>90.525897435897448</v>
      </c>
    </row>
    <row r="12" spans="2:12" ht="51" customHeight="1" thickBot="1" x14ac:dyDescent="0.3">
      <c r="B12" s="113" t="s">
        <v>52</v>
      </c>
      <c r="C12" s="114"/>
      <c r="D12" s="56"/>
      <c r="E12" s="115" t="s">
        <v>81</v>
      </c>
      <c r="F12" s="116"/>
      <c r="G12" s="79">
        <v>1560</v>
      </c>
    </row>
    <row r="13" spans="2:12" ht="21.75" thickTop="1" x14ac:dyDescent="0.35">
      <c r="B13" s="7"/>
      <c r="C13" s="7"/>
      <c r="E13" s="65"/>
      <c r="I13" s="80" t="s">
        <v>67</v>
      </c>
    </row>
    <row r="14" spans="2:12" ht="22.15" customHeight="1" x14ac:dyDescent="0.25">
      <c r="B14" s="75" t="s">
        <v>62</v>
      </c>
      <c r="I14" s="86" t="s">
        <v>70</v>
      </c>
      <c r="J14" s="36"/>
      <c r="K14" s="48"/>
    </row>
    <row r="15" spans="2:12" ht="18.75" thickBot="1" x14ac:dyDescent="0.3">
      <c r="B15" s="74" t="s">
        <v>63</v>
      </c>
    </row>
    <row r="16" spans="2:12" ht="36.6" customHeight="1" thickBot="1" x14ac:dyDescent="0.3">
      <c r="B16" t="s">
        <v>53</v>
      </c>
      <c r="I16" s="109" t="s">
        <v>61</v>
      </c>
      <c r="J16" s="110"/>
      <c r="K16" s="97">
        <f>+C75+K11</f>
        <v>2353.6733333333336</v>
      </c>
      <c r="L16" s="51"/>
    </row>
    <row r="17" spans="2:12" x14ac:dyDescent="0.25">
      <c r="B17" s="57" t="s">
        <v>56</v>
      </c>
    </row>
    <row r="18" spans="2:12" x14ac:dyDescent="0.25">
      <c r="B18" s="54"/>
      <c r="D18" s="122"/>
      <c r="E18" s="122"/>
      <c r="F18"/>
      <c r="G18"/>
    </row>
    <row r="19" spans="2:12" ht="19.899999999999999" customHeight="1" x14ac:dyDescent="0.3">
      <c r="B19" s="58" t="s">
        <v>57</v>
      </c>
      <c r="C19" s="20"/>
      <c r="D19" s="58"/>
      <c r="E19" s="25"/>
      <c r="F19"/>
      <c r="G19"/>
      <c r="I19" s="80" t="s">
        <v>71</v>
      </c>
    </row>
    <row r="20" spans="2:12" ht="21.6" customHeight="1" x14ac:dyDescent="0.25">
      <c r="C20" s="7"/>
      <c r="D20" s="20"/>
      <c r="E20" s="25"/>
      <c r="F20" s="25"/>
      <c r="G20" s="25"/>
      <c r="I20" s="87" t="s">
        <v>72</v>
      </c>
    </row>
    <row r="21" spans="2:12" ht="22.9" customHeight="1" thickBot="1" x14ac:dyDescent="0.3">
      <c r="B21" s="29" t="s">
        <v>41</v>
      </c>
      <c r="C21" s="29" t="s">
        <v>1</v>
      </c>
      <c r="D21" s="70" t="s">
        <v>4</v>
      </c>
      <c r="E21" s="30" t="s">
        <v>5</v>
      </c>
      <c r="F21" s="25"/>
      <c r="G21" s="25"/>
      <c r="I21" s="88"/>
      <c r="J21" s="36"/>
      <c r="K21" s="36"/>
      <c r="L21" s="36"/>
    </row>
    <row r="22" spans="2:12" ht="15.75" thickBot="1" x14ac:dyDescent="0.3">
      <c r="B22" s="56" t="s">
        <v>21</v>
      </c>
      <c r="C22" s="56">
        <v>48</v>
      </c>
      <c r="D22" s="71">
        <v>21900</v>
      </c>
      <c r="E22" s="33">
        <f t="shared" ref="E22:E44" si="0">+C22*D22</f>
        <v>1051200</v>
      </c>
      <c r="F22" s="66"/>
      <c r="G22" s="67"/>
      <c r="I22" s="82" t="s">
        <v>0</v>
      </c>
      <c r="J22" s="82" t="s">
        <v>1</v>
      </c>
      <c r="K22" s="82" t="s">
        <v>2</v>
      </c>
      <c r="L22" s="82" t="s">
        <v>3</v>
      </c>
    </row>
    <row r="23" spans="2:12" ht="15.75" thickBot="1" x14ac:dyDescent="0.3">
      <c r="B23" s="56" t="s">
        <v>37</v>
      </c>
      <c r="C23" s="56">
        <v>192</v>
      </c>
      <c r="D23" s="71">
        <v>950</v>
      </c>
      <c r="E23" s="33">
        <f t="shared" si="0"/>
        <v>182400</v>
      </c>
      <c r="F23" s="68"/>
      <c r="G23" s="67"/>
      <c r="I23" s="83"/>
      <c r="J23" s="83"/>
      <c r="K23" s="83"/>
      <c r="L23" s="83"/>
    </row>
    <row r="24" spans="2:12" ht="15.75" thickBot="1" x14ac:dyDescent="0.3">
      <c r="B24" s="56" t="s">
        <v>20</v>
      </c>
      <c r="C24" s="56">
        <v>24</v>
      </c>
      <c r="D24" s="71">
        <v>1500</v>
      </c>
      <c r="E24" s="33">
        <f t="shared" si="0"/>
        <v>36000</v>
      </c>
      <c r="F24" s="68"/>
      <c r="G24" s="67"/>
      <c r="I24" s="26" t="s">
        <v>36</v>
      </c>
      <c r="J24" s="26">
        <f>G12</f>
        <v>1560</v>
      </c>
      <c r="K24" s="27">
        <f>+K16</f>
        <v>2353.6733333333336</v>
      </c>
      <c r="L24" s="28">
        <f>+J24*K24</f>
        <v>3671730.4000000004</v>
      </c>
    </row>
    <row r="25" spans="2:12" ht="17.45" customHeight="1" thickBot="1" x14ac:dyDescent="0.3">
      <c r="B25" s="56" t="s">
        <v>19</v>
      </c>
      <c r="C25" s="56">
        <v>120</v>
      </c>
      <c r="D25" s="71">
        <v>4450</v>
      </c>
      <c r="E25" s="33">
        <f t="shared" si="0"/>
        <v>534000</v>
      </c>
      <c r="F25" s="69"/>
      <c r="G25" s="69"/>
      <c r="I25" s="26"/>
      <c r="J25" s="26"/>
      <c r="K25" s="26"/>
      <c r="L25" s="28"/>
    </row>
    <row r="26" spans="2:12" ht="16.899999999999999" customHeight="1" thickBot="1" x14ac:dyDescent="0.3">
      <c r="B26" s="56" t="s">
        <v>27</v>
      </c>
      <c r="C26" s="56">
        <v>1</v>
      </c>
      <c r="D26" s="71">
        <v>69000</v>
      </c>
      <c r="E26" s="33">
        <f t="shared" si="0"/>
        <v>69000</v>
      </c>
      <c r="H26" s="18"/>
      <c r="I26" s="26"/>
      <c r="J26" s="26"/>
      <c r="K26" s="26"/>
      <c r="L26" s="28"/>
    </row>
    <row r="27" spans="2:12" ht="16.149999999999999" customHeight="1" thickBot="1" x14ac:dyDescent="0.3">
      <c r="B27" s="56" t="s">
        <v>22</v>
      </c>
      <c r="C27" s="56">
        <v>1560</v>
      </c>
      <c r="D27" s="71">
        <v>45</v>
      </c>
      <c r="E27" s="33">
        <f t="shared" si="0"/>
        <v>70200</v>
      </c>
      <c r="I27" s="26"/>
      <c r="J27" s="26"/>
      <c r="K27" s="26"/>
      <c r="L27" s="28"/>
    </row>
    <row r="28" spans="2:12" ht="16.149999999999999" customHeight="1" thickBot="1" x14ac:dyDescent="0.3">
      <c r="B28" s="56"/>
      <c r="C28" s="56">
        <v>0</v>
      </c>
      <c r="D28" s="71">
        <v>0</v>
      </c>
      <c r="E28" s="33">
        <f t="shared" si="0"/>
        <v>0</v>
      </c>
      <c r="H28" s="74"/>
      <c r="I28" s="95" t="s">
        <v>73</v>
      </c>
      <c r="J28" s="92"/>
      <c r="K28" s="92"/>
      <c r="L28" s="96">
        <f>SUM(L24:L27)</f>
        <v>3671730.4000000004</v>
      </c>
    </row>
    <row r="29" spans="2:12" ht="16.149999999999999" customHeight="1" thickBot="1" x14ac:dyDescent="0.3">
      <c r="B29" s="56"/>
      <c r="C29" s="56">
        <v>0</v>
      </c>
      <c r="D29" s="71">
        <v>0</v>
      </c>
      <c r="E29" s="33">
        <f t="shared" si="0"/>
        <v>0</v>
      </c>
      <c r="I29" s="89"/>
      <c r="J29" s="90"/>
      <c r="K29" s="90"/>
      <c r="L29" s="91"/>
    </row>
    <row r="30" spans="2:12" ht="18.600000000000001" customHeight="1" thickBot="1" x14ac:dyDescent="0.3">
      <c r="B30" s="56"/>
      <c r="C30" s="56">
        <v>0</v>
      </c>
      <c r="D30" s="56">
        <v>0</v>
      </c>
      <c r="E30" s="33">
        <f t="shared" si="0"/>
        <v>0</v>
      </c>
      <c r="I30" s="93" t="s">
        <v>74</v>
      </c>
      <c r="J30" s="121"/>
      <c r="K30" s="121"/>
      <c r="L30" s="36"/>
    </row>
    <row r="31" spans="2:12" ht="16.149999999999999" customHeight="1" thickBot="1" x14ac:dyDescent="0.3">
      <c r="B31" s="56"/>
      <c r="C31" s="56">
        <v>0</v>
      </c>
      <c r="D31" s="56">
        <v>0</v>
      </c>
      <c r="E31" s="33">
        <f t="shared" si="0"/>
        <v>0</v>
      </c>
      <c r="I31" s="89" t="s">
        <v>75</v>
      </c>
      <c r="J31" s="121"/>
      <c r="K31" s="121"/>
      <c r="L31" s="36"/>
    </row>
    <row r="32" spans="2:12" ht="16.149999999999999" customHeight="1" thickBot="1" x14ac:dyDescent="0.3">
      <c r="B32" s="56"/>
      <c r="C32" s="56">
        <v>0</v>
      </c>
      <c r="D32" s="56">
        <v>0</v>
      </c>
      <c r="E32" s="33">
        <f t="shared" si="0"/>
        <v>0</v>
      </c>
      <c r="I32" s="89"/>
      <c r="J32" s="20"/>
      <c r="K32" s="20"/>
    </row>
    <row r="33" spans="2:12" ht="27.75" customHeight="1" thickBot="1" x14ac:dyDescent="0.3">
      <c r="B33" s="56"/>
      <c r="C33" s="56">
        <v>0</v>
      </c>
      <c r="D33" s="56">
        <v>0</v>
      </c>
      <c r="E33" s="33">
        <f t="shared" si="0"/>
        <v>0</v>
      </c>
      <c r="I33" s="43" t="s">
        <v>17</v>
      </c>
      <c r="J33" s="103" t="s">
        <v>18</v>
      </c>
      <c r="K33" s="103"/>
    </row>
    <row r="34" spans="2:12" ht="16.149999999999999" customHeight="1" thickBot="1" x14ac:dyDescent="0.3">
      <c r="B34" s="34" t="s">
        <v>40</v>
      </c>
      <c r="C34" s="31">
        <v>0</v>
      </c>
      <c r="D34" s="32">
        <v>0</v>
      </c>
      <c r="E34" s="33">
        <f t="shared" si="0"/>
        <v>0</v>
      </c>
      <c r="I34" s="49" t="s">
        <v>76</v>
      </c>
      <c r="J34" s="102">
        <f>+L28</f>
        <v>3671730.4000000004</v>
      </c>
      <c r="K34" s="102"/>
      <c r="L34" s="36"/>
    </row>
    <row r="35" spans="2:12" ht="16.149999999999999" customHeight="1" thickBot="1" x14ac:dyDescent="0.3">
      <c r="B35" s="56" t="s">
        <v>7</v>
      </c>
      <c r="C35" s="56">
        <v>10</v>
      </c>
      <c r="D35" s="56">
        <v>2045</v>
      </c>
      <c r="E35" s="33">
        <f t="shared" si="0"/>
        <v>20450</v>
      </c>
      <c r="I35" s="49" t="s">
        <v>77</v>
      </c>
      <c r="J35" s="102">
        <f>+C73</f>
        <v>3530510</v>
      </c>
      <c r="K35" s="102"/>
      <c r="L35" s="36"/>
    </row>
    <row r="36" spans="2:12" ht="30.75" customHeight="1" thickBot="1" x14ac:dyDescent="0.3">
      <c r="B36" s="56" t="s">
        <v>38</v>
      </c>
      <c r="C36" s="56">
        <v>0</v>
      </c>
      <c r="D36" s="56">
        <v>0</v>
      </c>
      <c r="E36" s="33">
        <f t="shared" si="0"/>
        <v>0</v>
      </c>
      <c r="I36" s="49" t="s">
        <v>78</v>
      </c>
      <c r="J36" s="124">
        <f>+J34-J35</f>
        <v>141220.40000000037</v>
      </c>
      <c r="K36" s="124"/>
      <c r="L36" s="19"/>
    </row>
    <row r="37" spans="2:12" ht="16.149999999999999" customHeight="1" thickBot="1" x14ac:dyDescent="0.3">
      <c r="B37" s="56" t="s">
        <v>8</v>
      </c>
      <c r="C37" s="56">
        <v>0</v>
      </c>
      <c r="D37" s="56">
        <v>0</v>
      </c>
      <c r="E37" s="33">
        <f t="shared" si="0"/>
        <v>0</v>
      </c>
      <c r="H37" s="20"/>
      <c r="I37" s="36"/>
      <c r="J37" s="36"/>
      <c r="K37" s="36"/>
      <c r="L37" s="21"/>
    </row>
    <row r="38" spans="2:12" ht="16.149999999999999" customHeight="1" thickBot="1" x14ac:dyDescent="0.3">
      <c r="B38" s="56" t="s">
        <v>9</v>
      </c>
      <c r="C38" s="56">
        <v>0</v>
      </c>
      <c r="D38" s="56">
        <v>0</v>
      </c>
      <c r="E38" s="33">
        <f t="shared" si="0"/>
        <v>0</v>
      </c>
      <c r="H38" s="20"/>
      <c r="I38" s="94" t="s">
        <v>83</v>
      </c>
      <c r="J38" s="129">
        <f>+J36/J35</f>
        <v>4.0000000000000105E-2</v>
      </c>
      <c r="K38" s="36"/>
      <c r="L38" s="21"/>
    </row>
    <row r="39" spans="2:12" ht="16.149999999999999" customHeight="1" thickBot="1" x14ac:dyDescent="0.3">
      <c r="B39" s="56" t="s">
        <v>10</v>
      </c>
      <c r="C39" s="56">
        <v>72</v>
      </c>
      <c r="D39" s="56">
        <v>5830</v>
      </c>
      <c r="E39" s="33">
        <f t="shared" si="0"/>
        <v>419760</v>
      </c>
      <c r="H39" s="20"/>
      <c r="I39" s="117"/>
      <c r="J39" s="117"/>
      <c r="K39" s="117"/>
      <c r="L39" s="22"/>
    </row>
    <row r="40" spans="2:12" ht="16.149999999999999" customHeight="1" thickBot="1" x14ac:dyDescent="0.3">
      <c r="B40" s="56"/>
      <c r="C40" s="56">
        <v>0</v>
      </c>
      <c r="D40" s="56">
        <v>0</v>
      </c>
      <c r="E40" s="33">
        <f t="shared" si="0"/>
        <v>0</v>
      </c>
      <c r="H40" s="20"/>
      <c r="I40" s="23"/>
      <c r="J40" s="20"/>
      <c r="K40" s="20"/>
      <c r="L40" s="20"/>
    </row>
    <row r="41" spans="2:12" ht="16.149999999999999" customHeight="1" thickBot="1" x14ac:dyDescent="0.3">
      <c r="B41" s="56"/>
      <c r="C41" s="56">
        <v>0</v>
      </c>
      <c r="D41" s="56">
        <v>0</v>
      </c>
      <c r="E41" s="33">
        <f t="shared" si="0"/>
        <v>0</v>
      </c>
      <c r="H41" s="120"/>
      <c r="I41" s="120"/>
      <c r="J41" s="20"/>
      <c r="K41" s="20"/>
      <c r="L41" s="20"/>
    </row>
    <row r="42" spans="2:12" ht="16.149999999999999" customHeight="1" thickBot="1" x14ac:dyDescent="0.3">
      <c r="B42" s="56"/>
      <c r="C42" s="56">
        <v>0</v>
      </c>
      <c r="D42" s="56">
        <v>0</v>
      </c>
      <c r="E42" s="33">
        <f t="shared" si="0"/>
        <v>0</v>
      </c>
      <c r="H42" s="20"/>
      <c r="I42" s="24"/>
      <c r="J42" s="20"/>
      <c r="K42" s="20"/>
      <c r="L42" s="20"/>
    </row>
    <row r="43" spans="2:12" ht="16.149999999999999" customHeight="1" thickBot="1" x14ac:dyDescent="0.3">
      <c r="B43" s="56"/>
      <c r="C43" s="56">
        <v>0</v>
      </c>
      <c r="D43" s="56">
        <v>0</v>
      </c>
      <c r="E43" s="33">
        <f t="shared" si="0"/>
        <v>0</v>
      </c>
      <c r="H43" s="118"/>
      <c r="I43" s="118"/>
      <c r="J43" s="127"/>
      <c r="K43" s="127"/>
      <c r="L43" s="9"/>
    </row>
    <row r="44" spans="2:12" ht="16.149999999999999" customHeight="1" thickBot="1" x14ac:dyDescent="0.3">
      <c r="B44" s="56"/>
      <c r="C44" s="56">
        <v>0</v>
      </c>
      <c r="D44" s="56">
        <v>0</v>
      </c>
      <c r="E44" s="33">
        <f t="shared" si="0"/>
        <v>0</v>
      </c>
      <c r="H44" s="119"/>
      <c r="I44" s="119"/>
      <c r="J44" s="127"/>
      <c r="K44" s="127"/>
      <c r="L44" s="9"/>
    </row>
    <row r="45" spans="2:12" ht="16.149999999999999" customHeight="1" x14ac:dyDescent="0.25">
      <c r="B45" s="104" t="s">
        <v>42</v>
      </c>
      <c r="C45" s="104"/>
      <c r="D45" s="104"/>
      <c r="E45" s="35">
        <f>SUM(E22:E44)</f>
        <v>2383010</v>
      </c>
      <c r="H45" s="118"/>
      <c r="I45" s="118"/>
      <c r="J45" s="127"/>
      <c r="K45" s="127"/>
      <c r="L45" s="9"/>
    </row>
    <row r="46" spans="2:12" ht="16.149999999999999" customHeight="1" x14ac:dyDescent="0.25">
      <c r="B46" s="104" t="s">
        <v>80</v>
      </c>
      <c r="C46" s="104"/>
      <c r="D46" s="104"/>
      <c r="E46" s="99">
        <f>+E45/G12</f>
        <v>1527.5705128205129</v>
      </c>
      <c r="H46" s="20"/>
      <c r="I46" s="24"/>
      <c r="J46" s="25"/>
      <c r="K46" s="25"/>
      <c r="L46" s="20"/>
    </row>
    <row r="47" spans="2:12" ht="16.149999999999999" customHeight="1" x14ac:dyDescent="0.25">
      <c r="B47" s="100"/>
      <c r="C47" s="100"/>
      <c r="D47" s="100"/>
      <c r="E47" s="101"/>
      <c r="H47" s="20"/>
      <c r="I47" s="24"/>
      <c r="J47" s="25"/>
      <c r="K47" s="25"/>
      <c r="L47" s="20"/>
    </row>
    <row r="48" spans="2:12" x14ac:dyDescent="0.25">
      <c r="D48" s="36"/>
      <c r="E48" s="36"/>
      <c r="F48" s="36"/>
      <c r="G48" s="37"/>
      <c r="H48" s="20"/>
      <c r="I48" s="20"/>
      <c r="J48" s="20"/>
      <c r="K48" s="20"/>
      <c r="L48" s="20"/>
    </row>
    <row r="49" spans="2:11" x14ac:dyDescent="0.25">
      <c r="B49" s="58" t="s">
        <v>58</v>
      </c>
      <c r="D49" s="36"/>
      <c r="E49" s="36"/>
      <c r="F49" s="36"/>
      <c r="G49" s="36"/>
    </row>
    <row r="50" spans="2:11" x14ac:dyDescent="0.25">
      <c r="B50" s="58" t="s">
        <v>60</v>
      </c>
      <c r="D50" s="36"/>
      <c r="E50" s="36"/>
      <c r="F50" s="36"/>
      <c r="G50" s="36"/>
    </row>
    <row r="51" spans="2:11" x14ac:dyDescent="0.25">
      <c r="B51" s="58"/>
      <c r="D51" s="36"/>
      <c r="E51" s="36"/>
      <c r="F51" s="36"/>
      <c r="G51" s="36"/>
    </row>
    <row r="52" spans="2:11" ht="15.75" thickBot="1" x14ac:dyDescent="0.3">
      <c r="B52" s="16" t="s">
        <v>11</v>
      </c>
      <c r="C52" s="16"/>
      <c r="D52" s="36"/>
      <c r="E52" s="36"/>
    </row>
    <row r="53" spans="2:11" ht="15.75" thickBot="1" x14ac:dyDescent="0.3">
      <c r="B53" s="38" t="s">
        <v>6</v>
      </c>
      <c r="C53" s="39" t="s">
        <v>1</v>
      </c>
      <c r="D53" s="40" t="s">
        <v>4</v>
      </c>
      <c r="E53" s="39" t="s">
        <v>12</v>
      </c>
    </row>
    <row r="54" spans="2:11" ht="15.75" thickBot="1" x14ac:dyDescent="0.3">
      <c r="B54" s="56" t="s">
        <v>13</v>
      </c>
      <c r="C54" s="56">
        <v>1</v>
      </c>
      <c r="D54" s="56">
        <v>850000</v>
      </c>
      <c r="E54" s="17">
        <f>+C54*D54</f>
        <v>850000</v>
      </c>
    </row>
    <row r="55" spans="2:11" ht="15.75" thickBot="1" x14ac:dyDescent="0.3">
      <c r="B55" s="56" t="s">
        <v>23</v>
      </c>
      <c r="C55" s="56"/>
      <c r="D55" s="56"/>
      <c r="E55" s="17">
        <f t="shared" ref="E55:E63" si="1">+C55*D55</f>
        <v>0</v>
      </c>
    </row>
    <row r="56" spans="2:11" ht="15.75" thickBot="1" x14ac:dyDescent="0.3">
      <c r="B56" s="56" t="s">
        <v>25</v>
      </c>
      <c r="C56" s="56">
        <v>1</v>
      </c>
      <c r="D56" s="56">
        <v>9500</v>
      </c>
      <c r="E56" s="17">
        <f t="shared" si="1"/>
        <v>9500</v>
      </c>
    </row>
    <row r="57" spans="2:11" ht="15.75" thickBot="1" x14ac:dyDescent="0.3">
      <c r="B57" s="56" t="s">
        <v>39</v>
      </c>
      <c r="C57" s="56">
        <v>1</v>
      </c>
      <c r="D57" s="56">
        <v>75000</v>
      </c>
      <c r="E57" s="17">
        <f t="shared" si="1"/>
        <v>75000</v>
      </c>
    </row>
    <row r="58" spans="2:11" ht="15.75" thickBot="1" x14ac:dyDescent="0.3">
      <c r="B58" s="56" t="s">
        <v>24</v>
      </c>
      <c r="C58" s="56">
        <v>1</v>
      </c>
      <c r="D58" s="56">
        <v>63000</v>
      </c>
      <c r="E58" s="17">
        <f t="shared" si="1"/>
        <v>63000</v>
      </c>
    </row>
    <row r="59" spans="2:11" ht="15.75" thickBot="1" x14ac:dyDescent="0.3">
      <c r="B59" s="56" t="s">
        <v>14</v>
      </c>
      <c r="C59" s="56">
        <v>1</v>
      </c>
      <c r="D59" s="56">
        <v>150000</v>
      </c>
      <c r="E59" s="17">
        <f t="shared" si="1"/>
        <v>150000</v>
      </c>
    </row>
    <row r="60" spans="2:11" ht="15.75" thickBot="1" x14ac:dyDescent="0.3">
      <c r="B60" s="56" t="s">
        <v>45</v>
      </c>
      <c r="C60" s="56"/>
      <c r="D60" s="56"/>
      <c r="E60" s="17">
        <f>+I77</f>
        <v>0</v>
      </c>
    </row>
    <row r="61" spans="2:11" ht="15.75" thickBot="1" x14ac:dyDescent="0.3">
      <c r="B61" s="56"/>
      <c r="C61" s="56"/>
      <c r="D61" s="56"/>
      <c r="E61" s="17">
        <f t="shared" si="1"/>
        <v>0</v>
      </c>
      <c r="H61" s="123"/>
      <c r="I61" s="123"/>
      <c r="J61" s="123"/>
      <c r="K61" s="84"/>
    </row>
    <row r="62" spans="2:11" ht="18" thickBot="1" x14ac:dyDescent="0.35">
      <c r="B62" s="56"/>
      <c r="C62" s="56"/>
      <c r="D62" s="56"/>
      <c r="E62" s="17">
        <f t="shared" si="1"/>
        <v>0</v>
      </c>
      <c r="H62" s="81"/>
    </row>
    <row r="63" spans="2:11" ht="15.75" thickBot="1" x14ac:dyDescent="0.3">
      <c r="B63" s="14" t="s">
        <v>15</v>
      </c>
      <c r="C63" s="10"/>
      <c r="D63" s="15"/>
      <c r="E63" s="17">
        <f t="shared" si="1"/>
        <v>0</v>
      </c>
    </row>
    <row r="64" spans="2:11" x14ac:dyDescent="0.25">
      <c r="B64" s="59" t="s">
        <v>32</v>
      </c>
      <c r="C64" s="60"/>
      <c r="D64" s="61"/>
      <c r="E64" s="125">
        <f>SUM(E54:E63)</f>
        <v>1147500</v>
      </c>
    </row>
    <row r="65" spans="2:7" ht="15.75" thickBot="1" x14ac:dyDescent="0.3">
      <c r="B65" s="62"/>
      <c r="C65" s="63"/>
      <c r="D65" s="64"/>
      <c r="E65" s="126"/>
    </row>
    <row r="66" spans="2:7" ht="15.75" thickTop="1" x14ac:dyDescent="0.25">
      <c r="D66" s="36"/>
      <c r="E66" s="36"/>
      <c r="F66" s="36"/>
      <c r="G66" s="41"/>
    </row>
    <row r="67" spans="2:7" x14ac:dyDescent="0.25">
      <c r="B67" s="58" t="s">
        <v>79</v>
      </c>
      <c r="D67" s="50"/>
      <c r="E67" s="36"/>
      <c r="F67" s="36"/>
      <c r="G67" s="36"/>
    </row>
    <row r="68" spans="2:7" x14ac:dyDescent="0.25">
      <c r="B68" s="58" t="s">
        <v>59</v>
      </c>
      <c r="D68" s="50"/>
      <c r="E68" s="36"/>
      <c r="F68" s="36"/>
      <c r="G68" s="36"/>
    </row>
    <row r="69" spans="2:7" x14ac:dyDescent="0.25">
      <c r="B69" s="58"/>
      <c r="D69" s="50"/>
      <c r="E69" s="36"/>
      <c r="F69" s="36"/>
      <c r="G69" s="36"/>
    </row>
    <row r="70" spans="2:7" x14ac:dyDescent="0.25">
      <c r="B70" s="42" t="s">
        <v>17</v>
      </c>
      <c r="C70" s="43" t="s">
        <v>18</v>
      </c>
      <c r="F70" s="36"/>
      <c r="G70" s="36"/>
    </row>
    <row r="71" spans="2:7" x14ac:dyDescent="0.25">
      <c r="B71" s="26" t="s">
        <v>44</v>
      </c>
      <c r="C71" s="44">
        <f>+E45</f>
        <v>2383010</v>
      </c>
      <c r="F71" s="36"/>
      <c r="G71" s="36"/>
    </row>
    <row r="72" spans="2:7" x14ac:dyDescent="0.25">
      <c r="B72" s="26" t="s">
        <v>43</v>
      </c>
      <c r="C72" s="45">
        <f>+E64</f>
        <v>1147500</v>
      </c>
      <c r="F72" s="36"/>
      <c r="G72" s="36"/>
    </row>
    <row r="73" spans="2:7" x14ac:dyDescent="0.25">
      <c r="B73" s="46" t="s">
        <v>16</v>
      </c>
      <c r="C73" s="52">
        <f>SUM(C71:C72)</f>
        <v>3530510</v>
      </c>
      <c r="F73" s="36"/>
      <c r="G73" s="36"/>
    </row>
    <row r="74" spans="2:7" ht="15.75" thickBot="1" x14ac:dyDescent="0.3">
      <c r="B74" s="16"/>
      <c r="C74" s="47"/>
      <c r="F74" s="36"/>
      <c r="G74" s="36"/>
    </row>
    <row r="75" spans="2:7" ht="15.75" thickBot="1" x14ac:dyDescent="0.3">
      <c r="B75" s="72" t="s">
        <v>26</v>
      </c>
      <c r="C75" s="85">
        <f>+C73/G12</f>
        <v>2263.147435897436</v>
      </c>
      <c r="F75" s="36"/>
      <c r="G75" s="36"/>
    </row>
    <row r="76" spans="2:7" x14ac:dyDescent="0.25">
      <c r="D76" s="36"/>
      <c r="E76" s="41"/>
      <c r="F76" s="36"/>
      <c r="G76" s="36"/>
    </row>
    <row r="77" spans="2:7" x14ac:dyDescent="0.25">
      <c r="F77" s="36"/>
      <c r="G77" s="36"/>
    </row>
    <row r="78" spans="2:7" x14ac:dyDescent="0.25">
      <c r="F78" s="36"/>
      <c r="G78" s="36"/>
    </row>
    <row r="79" spans="2:7" ht="33.6" customHeight="1" x14ac:dyDescent="0.25">
      <c r="F79" s="36"/>
      <c r="G79" s="36"/>
    </row>
    <row r="80" spans="2:7" x14ac:dyDescent="0.25">
      <c r="F80" s="36"/>
      <c r="G80" s="36"/>
    </row>
    <row r="81" spans="6:7" ht="19.899999999999999" customHeight="1" x14ac:dyDescent="0.25">
      <c r="F81" s="36"/>
      <c r="G81" s="36"/>
    </row>
    <row r="82" spans="6:7" x14ac:dyDescent="0.25">
      <c r="F82" s="36"/>
      <c r="G82" s="36"/>
    </row>
    <row r="83" spans="6:7" ht="21.6" customHeight="1" x14ac:dyDescent="0.25">
      <c r="F83" s="36"/>
      <c r="G83" s="36"/>
    </row>
    <row r="84" spans="6:7" x14ac:dyDescent="0.25">
      <c r="F84" s="36"/>
      <c r="G84" s="36"/>
    </row>
    <row r="103" spans="4:7" x14ac:dyDescent="0.25">
      <c r="D103" s="36"/>
      <c r="E103" s="36"/>
      <c r="F103" s="36"/>
      <c r="G103" s="36"/>
    </row>
    <row r="104" spans="4:7" x14ac:dyDescent="0.25">
      <c r="D104" s="36"/>
      <c r="E104" s="36"/>
      <c r="F104" s="36"/>
      <c r="G104" s="36"/>
    </row>
    <row r="105" spans="4:7" x14ac:dyDescent="0.25">
      <c r="D105" s="36"/>
      <c r="E105" s="36"/>
      <c r="F105" s="36"/>
      <c r="G105" s="36"/>
    </row>
    <row r="106" spans="4:7" x14ac:dyDescent="0.25">
      <c r="D106" s="36"/>
      <c r="E106" s="36"/>
      <c r="F106" s="36"/>
      <c r="G106" s="36"/>
    </row>
    <row r="107" spans="4:7" x14ac:dyDescent="0.25">
      <c r="D107" s="36"/>
      <c r="E107" s="36"/>
      <c r="F107" s="36"/>
      <c r="G107" s="36"/>
    </row>
    <row r="108" spans="4:7" x14ac:dyDescent="0.25">
      <c r="D108" s="36"/>
      <c r="E108" s="36"/>
      <c r="F108" s="36"/>
      <c r="G108" s="36"/>
    </row>
    <row r="109" spans="4:7" x14ac:dyDescent="0.25">
      <c r="D109" s="36"/>
      <c r="E109" s="36"/>
      <c r="F109" s="36"/>
      <c r="G109" s="36"/>
    </row>
    <row r="110" spans="4:7" x14ac:dyDescent="0.25">
      <c r="D110" s="36"/>
      <c r="E110" s="36"/>
      <c r="F110" s="36"/>
      <c r="G110" s="36"/>
    </row>
    <row r="111" spans="4:7" x14ac:dyDescent="0.25">
      <c r="D111" s="36"/>
      <c r="E111" s="36"/>
      <c r="F111" s="36"/>
      <c r="G111" s="36"/>
    </row>
    <row r="112" spans="4:7" x14ac:dyDescent="0.25">
      <c r="D112" s="36"/>
      <c r="E112" s="36"/>
      <c r="F112" s="36"/>
      <c r="G112" s="36"/>
    </row>
    <row r="113" spans="4:7" x14ac:dyDescent="0.25">
      <c r="D113" s="36"/>
      <c r="E113" s="36"/>
      <c r="F113" s="36"/>
      <c r="G113" s="36"/>
    </row>
  </sheetData>
  <mergeCells count="26">
    <mergeCell ref="H61:J61"/>
    <mergeCell ref="J36:K36"/>
    <mergeCell ref="B45:D45"/>
    <mergeCell ref="E64:E65"/>
    <mergeCell ref="H45:I45"/>
    <mergeCell ref="J43:K43"/>
    <mergeCell ref="J44:K44"/>
    <mergeCell ref="J45:K45"/>
    <mergeCell ref="B1:G1"/>
    <mergeCell ref="B2:G2"/>
    <mergeCell ref="B12:C12"/>
    <mergeCell ref="E12:F12"/>
    <mergeCell ref="I39:K39"/>
    <mergeCell ref="J30:K30"/>
    <mergeCell ref="J31:K31"/>
    <mergeCell ref="D18:E18"/>
    <mergeCell ref="J35:K35"/>
    <mergeCell ref="J34:K34"/>
    <mergeCell ref="J33:K33"/>
    <mergeCell ref="B46:D46"/>
    <mergeCell ref="I11:J11"/>
    <mergeCell ref="I10:J10"/>
    <mergeCell ref="I16:J16"/>
    <mergeCell ref="H43:I43"/>
    <mergeCell ref="H44:I44"/>
    <mergeCell ref="H41:I41"/>
  </mergeCells>
  <pageMargins left="0.23622047244094491" right="0.23622047244094491" top="0.74803149606299213" bottom="0.74803149606299213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C12" sqref="C12"/>
    </sheetView>
  </sheetViews>
  <sheetFormatPr baseColWidth="10" defaultRowHeight="15" x14ac:dyDescent="0.25"/>
  <cols>
    <col min="3" max="3" width="13.140625" bestFit="1" customWidth="1"/>
    <col min="4" max="4" width="15.42578125" customWidth="1"/>
  </cols>
  <sheetData>
    <row r="2" spans="2:5" ht="31.9" customHeight="1" x14ac:dyDescent="0.3">
      <c r="B2" s="128" t="s">
        <v>28</v>
      </c>
      <c r="C2" s="128"/>
      <c r="D2" s="128"/>
      <c r="E2" s="128"/>
    </row>
    <row r="6" spans="2:5" ht="15.75" thickBot="1" x14ac:dyDescent="0.3"/>
    <row r="7" spans="2:5" ht="16.5" thickBot="1" x14ac:dyDescent="0.3">
      <c r="B7" s="6" t="s">
        <v>33</v>
      </c>
      <c r="C7" s="1"/>
    </row>
    <row r="9" spans="2:5" ht="20.45" customHeight="1" x14ac:dyDescent="0.25">
      <c r="B9" s="4" t="s">
        <v>29</v>
      </c>
      <c r="C9" s="11">
        <f>+'COSTOS VARIABLES'!C72</f>
        <v>1147500</v>
      </c>
    </row>
    <row r="10" spans="2:5" ht="18.600000000000001" customHeight="1" x14ac:dyDescent="0.25">
      <c r="B10" s="4" t="s">
        <v>30</v>
      </c>
      <c r="C10" s="11">
        <f>+'COSTOS VARIABLES'!K16</f>
        <v>2353.6733333333336</v>
      </c>
      <c r="D10" s="12">
        <f>+C10-C11</f>
        <v>826.1028205128207</v>
      </c>
    </row>
    <row r="11" spans="2:5" ht="21.6" customHeight="1" x14ac:dyDescent="0.25">
      <c r="B11" s="4" t="s">
        <v>31</v>
      </c>
      <c r="C11" s="11">
        <f>+'COSTOS VARIABLES'!E46</f>
        <v>1527.5705128205129</v>
      </c>
    </row>
    <row r="12" spans="2:5" ht="15.75" thickBot="1" x14ac:dyDescent="0.3"/>
    <row r="13" spans="2:5" ht="24.6" customHeight="1" thickBot="1" x14ac:dyDescent="0.35">
      <c r="B13" s="2" t="s">
        <v>34</v>
      </c>
      <c r="C13" s="13">
        <f>+C9/(C10-C11)</f>
        <v>1389.0522723160118</v>
      </c>
      <c r="D13" s="3" t="s">
        <v>35</v>
      </c>
    </row>
    <row r="15" spans="2:5" x14ac:dyDescent="0.25">
      <c r="B15" t="s">
        <v>48</v>
      </c>
    </row>
    <row r="16" spans="2:5" x14ac:dyDescent="0.25">
      <c r="B16" t="s">
        <v>47</v>
      </c>
    </row>
    <row r="17" spans="2:2" x14ac:dyDescent="0.25">
      <c r="B17" t="s">
        <v>46</v>
      </c>
    </row>
    <row r="20" spans="2:2" ht="15.75" x14ac:dyDescent="0.25">
      <c r="B20" s="5"/>
    </row>
  </sheetData>
  <mergeCells count="1">
    <mergeCell ref="B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COSTOS VARIABLES</vt:lpstr>
      <vt:lpstr>PUNTO EQUILIBRIO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Usuario</cp:lastModifiedBy>
  <cp:lastPrinted>2026-05-06T20:37:07Z</cp:lastPrinted>
  <dcterms:created xsi:type="dcterms:W3CDTF">2024-10-06T00:32:10Z</dcterms:created>
  <dcterms:modified xsi:type="dcterms:W3CDTF">2026-06-02T13:53:50Z</dcterms:modified>
</cp:coreProperties>
</file>